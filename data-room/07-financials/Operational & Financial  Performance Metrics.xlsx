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ic Financial Metrics" sheetId="1" state="visible" r:id="rId1"/>
    <sheet xmlns:r="http://schemas.openxmlformats.org/officeDocument/2006/relationships" name="Acquisition &amp; Conversion" sheetId="2" state="visible" r:id="rId2"/>
    <sheet xmlns:r="http://schemas.openxmlformats.org/officeDocument/2006/relationships" name="Retention &amp; Value" sheetId="3" state="visible" r:id="rId3"/>
    <sheet xmlns:r="http://schemas.openxmlformats.org/officeDocument/2006/relationships" name="Product Operations &amp; Engagement" sheetId="4" state="visible" r:id="rId4"/>
    <sheet xmlns:r="http://schemas.openxmlformats.org/officeDocument/2006/relationships" name="Team &amp; Effici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&quot; days&quot;"/>
  </numFmts>
  <fonts count="4">
    <font>
      <name val="Arial"/>
      <color rgb="FF000000"/>
      <sz val="10"/>
      <scheme val="minor"/>
    </font>
    <font>
      <name val="Arial"/>
      <b val="1"/>
      <color theme="1"/>
    </font>
    <font>
      <name val="Arial"/>
      <b val="1"/>
      <color theme="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pivotButton="0" quotePrefix="0" xfId="0"/>
    <xf numFmtId="0" fontId="0" fillId="0" borderId="0" pivotButton="0" quotePrefix="0" xfId="0"/>
    <xf numFmtId="164" fontId="1" fillId="0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  <xf numFmtId="10" fontId="0" fillId="0" borderId="0" applyAlignment="1" pivotButton="0" quotePrefix="0" xfId="0">
      <alignment vertical="bottom"/>
    </xf>
    <xf numFmtId="165" fontId="0" fillId="0" borderId="0" applyAlignment="1" pivotButton="0" quotePrefix="0" xfId="0">
      <alignment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3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37.5" customWidth="1" style="11" min="1" max="1"/>
    <col width="13.38" customWidth="1" style="11" min="2" max="2"/>
    <col width="12.75" customWidth="1" style="11" min="3" max="3"/>
    <col width="15.5" customWidth="1" style="11" min="4" max="4"/>
    <col width="12.63" customWidth="1" style="11" min="5" max="5"/>
    <col width="18.75" customWidth="1" style="11" min="6" max="6"/>
  </cols>
  <sheetData>
    <row r="1" ht="15.75" customHeight="1" s="11">
      <c r="A1" s="1" t="inlineStr">
        <is>
          <t>Metric</t>
        </is>
      </c>
      <c r="B1" s="7" t="inlineStr">
        <is>
          <t>Previous Period</t>
        </is>
      </c>
      <c r="C1" s="7" t="inlineStr">
        <is>
          <t>Last Period</t>
        </is>
      </c>
      <c r="D1" s="7" t="inlineStr">
        <is>
          <t>Change</t>
        </is>
      </c>
      <c r="E1" s="1" t="inlineStr">
        <is>
          <t>Analysis &amp; Status</t>
        </is>
      </c>
      <c r="F1" s="5" t="inlineStr">
        <is>
          <t>Explanation</t>
        </is>
      </c>
      <c r="G1" s="5" t="inlineStr">
        <is>
          <t>Calculation Example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5.75" customHeight="1" s="11">
      <c r="A2" s="1" t="inlineStr">
        <is>
          <t>Monthly Revenue</t>
        </is>
      </c>
      <c r="B2" s="12" t="n">
        <v>150000</v>
      </c>
      <c r="C2" s="12" t="n">
        <v>207500</v>
      </c>
      <c r="D2" s="6">
        <f>IFERROR((C2-B2)/B2,0)</f>
        <v/>
      </c>
      <c r="E2" s="1" t="inlineStr">
        <is>
          <t>Improving — monthly run-rate up with 2025 scale</t>
        </is>
      </c>
      <c r="F2" s="5" t="inlineStr">
        <is>
          <t>Total cash revenue recognised in the month from performance margin, managed services, and setup fees. The primary top-line health signal investors track.</t>
        </is>
      </c>
      <c r="G2" s="5" t="inlineStr">
        <is>
          <t>Sum of all invoices paid in the period. Dec 2025: $120K → Jan 2026: $150K</t>
        </is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5.75" customHeight="1" s="11">
      <c r="A3" s="7" t="inlineStr">
        <is>
          <t>MoM Revenue Growth Rate</t>
        </is>
      </c>
      <c r="B3" s="13" t="n">
        <v>0.5</v>
      </c>
      <c r="C3" s="13" t="n">
        <v>0.383</v>
      </c>
      <c r="D3" s="13">
        <f>C3-B3</f>
        <v/>
      </c>
      <c r="E3" s="1" t="inlineStr">
        <is>
          <t>Still strong growth; normalized from hypergrowth</t>
        </is>
      </c>
      <c r="F3" s="7" t="inlineStr">
        <is>
          <t>Demonstrates momentum and market traction. Investors look for consistent, high growth (e.g., 5-15% for seed stage).</t>
        </is>
      </c>
      <c r="G3" s="7" t="inlineStr">
        <is>
          <t>(Current MRR − Previous MRR) / Previous MRR = ($150K − $120K) / $120K = 25%</t>
        </is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11">
      <c r="A4" s="7" t="inlineStr">
        <is>
          <t>Net Revenue Retention (NRR)</t>
        </is>
      </c>
      <c r="B4" s="13" t="n">
        <v>1.15</v>
      </c>
      <c r="C4" s="13" t="n">
        <v>1.2</v>
      </c>
      <c r="D4" s="13">
        <f>C4-B4</f>
        <v/>
      </c>
      <c r="E4" s="1" t="inlineStr">
        <is>
          <t>Improving — stronger expansion from existing clients</t>
        </is>
      </c>
      <c r="F4" s="7" t="inlineStr">
        <is>
          <t>Measures revenue retained from the existing customer base, accounting for churn, upgrades, and downgrades. A strong indicator of product-market fit and a key metric for SaaS valuation.</t>
        </is>
      </c>
      <c r="G4" s="7" t="inlineStr">
        <is>
          <t>NRR = (Beginning MRR + Expansion − Contraction − Churn) / Beginning MRR × 100. E.g. $100K + $25K − $5K − $0 = 120%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11">
      <c r="A5" s="7" t="inlineStr">
        <is>
          <t>Gross Margin</t>
        </is>
      </c>
      <c r="B5" s="13" t="n">
        <v>0.655</v>
      </c>
      <c r="C5" s="13" t="n">
        <v>0.665</v>
      </c>
      <c r="D5" s="13">
        <f>C5-B5</f>
        <v/>
      </c>
      <c r="E5" s="1" t="inlineStr">
        <is>
          <t>Improving</t>
        </is>
      </c>
      <c r="F5" s="7" t="inlineStr">
        <is>
          <t>The profitability of the core product/service before operating expenses. Must be positive and trending up to prove a viable model.</t>
        </is>
      </c>
      <c r="G5" s="7" t="inlineStr">
        <is>
          <t>(Revenue − COGS) / Revenue = ($150K − $50.2K) / $150K ≈ 66.5%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11">
      <c r="A6" s="1" t="inlineStr">
        <is>
          <t>Monthly Recurring Revenue (MRR) (If applicable)</t>
        </is>
      </c>
      <c r="B6" s="12" t="n">
        <v>150000</v>
      </c>
      <c r="C6" s="12" t="n">
        <v>207500</v>
      </c>
      <c r="D6" s="6">
        <f>IFERROR((C6-B6)/B6,0)</f>
        <v/>
      </c>
      <c r="E6" s="1" t="inlineStr">
        <is>
          <t>Growing recurring base (2024 cohort → 2025 cohort)</t>
        </is>
      </c>
      <c r="F6" s="7" t="inlineStr">
        <is>
          <t>Measures predictable, recurring revenue. Investors value predictability and consistent month-over-month growth. Perff AI MRR tied to active campaign volume.</t>
        </is>
      </c>
      <c r="G6" s="7" t="inlineStr">
        <is>
          <t>MRR = Sum of all recurring monthly subscription / retainer / performance contracts. Jan 2026: $150K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11">
      <c r="A7" s="1" t="inlineStr">
        <is>
          <t>Total Operating Expenses</t>
        </is>
      </c>
      <c r="B7" s="12" t="n">
        <v>100000</v>
      </c>
      <c r="C7" s="12" t="n">
        <v>120000</v>
      </c>
      <c r="D7" s="6">
        <f>IFERROR((C7-B7)/B7,0)</f>
        <v/>
      </c>
      <c r="E7" s="1" t="inlineStr">
        <is>
          <t>Controlled; team + infra + publisher ops</t>
        </is>
      </c>
      <c r="F7" s="5" t="inlineStr">
        <is>
          <t>Total cash operating costs including salaries, publisher payouts, cloud infrastructure, office, marketing, and professional services. Must grow slower than revenue.</t>
        </is>
      </c>
      <c r="G7" s="5" t="inlineStr">
        <is>
          <t>Team $55K + Publisher Payouts $43.5K + Tech $6.5K + Office $5K + Sales $2.5K + Prof Services $2K + Travel $3K + Other $2.5K = $120K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11">
      <c r="A8" s="1" t="inlineStr">
        <is>
          <t>Net Burn Rate</t>
        </is>
      </c>
      <c r="B8" s="12" t="n">
        <v>40000</v>
      </c>
      <c r="C8" s="12" t="n">
        <v>30000</v>
      </c>
      <c r="D8" s="6">
        <f>C8-B8</f>
        <v/>
      </c>
      <c r="E8" s="1" t="inlineStr">
        <is>
          <t>Improving burn efficiency</t>
        </is>
      </c>
      <c r="F8" s="7" t="inlineStr">
        <is>
          <t>The amount of cash the company is losing each month. This is the most critical metric for early-stage survival.</t>
        </is>
      </c>
      <c r="G8" s="7" t="inlineStr">
        <is>
          <t>Net Burn = Total OpEx − Total Revenue = $120K − $150K = −$30K (company is cash-flow positive net of variable publisher payouts offset by gross margin)</t>
        </is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11">
      <c r="A9" s="1" t="inlineStr">
        <is>
          <t>Cash on Hand</t>
        </is>
      </c>
      <c r="B9" s="12" t="n">
        <v>200000</v>
      </c>
      <c r="C9" s="12" t="n">
        <v>100000</v>
      </c>
      <c r="D9" s="6">
        <f>C9-B9</f>
        <v/>
      </c>
      <c r="E9" s="5" t="inlineStr">
        <is>
          <t>Pre-raise; actively fundraising $8M SAFE</t>
        </is>
      </c>
      <c r="F9" s="5" t="inlineStr">
        <is>
          <t>Total liquid cash available. Critical survival metric. Current balance reflects operational bootstrapping; $8M raise will extend runway to 30+ months.</t>
        </is>
      </c>
      <c r="G9" s="5" t="inlineStr">
        <is>
          <t>Bank balance as of period end. Dec 2025: $200K → Jan 2026: $100K (net of payouts cycle)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11">
      <c r="A10" s="1" t="inlineStr">
        <is>
          <t>Cash Runway</t>
        </is>
      </c>
      <c r="B10" s="6" t="n">
        <v>5</v>
      </c>
      <c r="C10" s="6" t="n">
        <v>6</v>
      </c>
      <c r="D10" s="6">
        <f>C10-B10</f>
        <v/>
      </c>
      <c r="E10" s="1" t="inlineStr">
        <is>
          <t>Runway improved as burn reduced</t>
        </is>
      </c>
      <c r="F10" s="7" t="inlineStr">
        <is>
          <t>The total time (in months) the company has before it runs out of cash, assuming the current burn rate.</t>
        </is>
      </c>
      <c r="G10" s="7" t="inlineStr">
        <is>
          <t>Cash Runway (months) = Cash on Hand / Net Monthly Burn = $100K / $30K ≈ 6 months (without raise). Post-raise: $8M / $150K burn = 53 months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5.75" customHeight="1" s="11">
      <c r="A11" s="7" t="inlineStr">
        <is>
          <t>Burn Multiple</t>
        </is>
      </c>
      <c r="B11" s="13" t="n">
        <v>1.8</v>
      </c>
      <c r="C11" s="13" t="n">
        <v>1.6</v>
      </c>
      <c r="D11" s="13">
        <f>C11-B11</f>
        <v/>
      </c>
      <c r="E11" s="5" t="inlineStr">
        <is>
          <t>Healthy (&lt;2x)</t>
        </is>
      </c>
      <c r="F11" s="5" t="inlineStr">
        <is>
          <t>Shows how much cash a company burns per dollar of net new ARR. &lt;1× is exceptional; 1–1.5× is great; &gt;2× raises concern. Perff AI at 1.6× is healthy.</t>
        </is>
      </c>
      <c r="G11" s="5" t="inlineStr">
        <is>
          <t>Burn Multiple = Net Burn / Net New ARR. Net Burn $30K/mo × 12 = $360K/yr. New ARR ≈ $360K. Burn Multiple = $360K / $360K = 1.0×</t>
        </is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5.75" customHeight="1" s="1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5.75" customHeight="1" s="11">
      <c r="A13" s="5" t="n"/>
      <c r="B13" s="7" t="n"/>
      <c r="C13" s="7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5.75" customHeight="1" s="11">
      <c r="A14" s="7" t="n"/>
      <c r="B14" s="7" t="n"/>
      <c r="C14" s="7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5.75" customHeight="1" s="11">
      <c r="A15" s="7" t="n"/>
      <c r="B15" s="7" t="n"/>
      <c r="C15" s="7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5.75" customHeight="1" s="11">
      <c r="A16" s="7" t="n"/>
      <c r="B16" s="7" t="n"/>
      <c r="C16" s="7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5.75" customHeight="1" s="11">
      <c r="A17" s="7" t="n"/>
      <c r="B17" s="7" t="n"/>
      <c r="C17" s="7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5.75" customHeight="1" s="11">
      <c r="A18" s="7" t="n"/>
      <c r="B18" s="7" t="n"/>
      <c r="C18" s="7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5.75" customHeight="1" s="1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5.75" customHeight="1" s="1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5.75" customHeight="1" s="1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5.75" customHeight="1" s="1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5.75" customHeight="1" s="1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5.75" customHeight="1" s="1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5.75" customHeight="1" s="1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5.75" customHeight="1" s="1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5.75" customHeight="1" s="1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5.75" customHeight="1" s="1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5.75" customHeight="1" s="1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5.75" customHeight="1" s="1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5.75" customHeight="1" s="1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5.75" customHeight="1" s="1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5.75" customHeight="1" s="1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5.75" customHeight="1" s="1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5.75" customHeight="1" s="1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5.75" customHeight="1" s="1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5.75" customHeight="1" s="1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5.75" customHeight="1" s="1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5.75" customHeight="1" s="1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5.75" customHeight="1" s="1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5.75" customHeight="1" s="1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5.75" customHeight="1" s="1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5.75" customHeight="1" s="1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5.75" customHeight="1" s="1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5.75" customHeight="1" s="1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5.75" customHeight="1" s="1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5.75" customHeight="1" s="1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5.75" customHeight="1" s="1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5.75" customHeight="1" s="1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5.75" customHeight="1" s="1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5.75" customHeight="1" s="1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5.75" customHeight="1" s="1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5.75" customHeight="1" s="1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5.75" customHeight="1" s="1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5.75" customHeight="1" s="1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5.75" customHeight="1" s="1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5.75" customHeight="1" s="1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5.75" customHeight="1" s="1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5.75" customHeight="1" s="1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5.75" customHeight="1" s="1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5.75" customHeight="1" s="1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5.75" customHeight="1" s="1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5.75" customHeight="1" s="1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5.75" customHeight="1" s="1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5.75" customHeight="1" s="1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5.75" customHeight="1" s="1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5.75" customHeight="1" s="1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5.75" customHeight="1" s="1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5.75" customHeight="1" s="1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5.75" customHeight="1" s="1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5.75" customHeight="1" s="1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5.75" customHeight="1" s="1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5.75" customHeight="1" s="1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5.75" customHeight="1" s="1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5.75" customHeight="1" s="1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5.75" customHeight="1" s="1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5.75" customHeight="1" s="1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5.75" customHeight="1" s="1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5.75" customHeight="1" s="1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5.75" customHeight="1" s="1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5.75" customHeight="1" s="1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5.75" customHeight="1" s="1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5.75" customHeight="1" s="1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5.75" customHeight="1" s="1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5.75" customHeight="1" s="1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5.75" customHeight="1" s="1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5.75" customHeight="1" s="1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5.75" customHeight="1" s="1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5.75" customHeight="1" s="1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5.75" customHeight="1" s="1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5.75" customHeight="1" s="1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5.75" customHeight="1" s="1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5.75" customHeight="1" s="1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5.75" customHeight="1" s="1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5.75" customHeight="1" s="1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5.75" customHeight="1" s="1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5.75" customHeight="1" s="1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5.75" customHeight="1" s="1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5.75" customHeight="1" s="1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5.75" customHeight="1" s="1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5.75" customHeight="1" s="1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5.75" customHeight="1" s="1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5.75" customHeight="1" s="1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5.75" customHeight="1" s="1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5.75" customHeight="1" s="1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5.75" customHeight="1" s="1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5.75" customHeight="1" s="1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5.75" customHeight="1" s="1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5.75" customHeight="1" s="1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5.75" customHeight="1" s="1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5.75" customHeight="1" s="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5.75" customHeight="1" s="1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5.75" customHeight="1" s="1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5.75" customHeight="1" s="1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5.75" customHeight="1" s="1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5.75" customHeight="1" s="1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5.75" customHeight="1" s="1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5.75" customHeight="1" s="1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5.75" customHeight="1" s="1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5.75" customHeight="1" s="1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5.75" customHeight="1" s="1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5.75" customHeight="1" s="1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5.75" customHeight="1" s="1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5.75" customHeight="1" s="1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5.75" customHeight="1" s="1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5.75" customHeight="1" s="1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5.75" customHeight="1" s="1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5.75" customHeight="1" s="1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5.75" customHeight="1" s="1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5.75" customHeight="1" s="1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5.75" customHeight="1" s="1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5.75" customHeight="1" s="1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5.75" customHeight="1" s="1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5.75" customHeight="1" s="1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5.75" customHeight="1" s="1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5.75" customHeight="1" s="1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5.75" customHeight="1" s="1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5.75" customHeight="1" s="1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5.75" customHeight="1" s="1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5.75" customHeight="1" s="1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5.75" customHeight="1" s="1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5.75" customHeight="1" s="1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5.75" customHeight="1" s="1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5.75" customHeight="1" s="1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5.75" customHeight="1" s="1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5.75" customHeight="1" s="1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5.75" customHeight="1" s="1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5.75" customHeight="1" s="1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5.75" customHeight="1" s="1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5.75" customHeight="1" s="1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5.75" customHeight="1" s="1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5.75" customHeight="1" s="1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5.75" customHeight="1" s="1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5.75" customHeight="1" s="1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5.75" customHeight="1" s="1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5.75" customHeight="1" s="1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5.75" customHeight="1" s="1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5.75" customHeight="1" s="1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5.75" customHeight="1" s="1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5.75" customHeight="1" s="1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5.75" customHeight="1" s="1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5.75" customHeight="1" s="1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5.75" customHeight="1" s="1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5.75" customHeight="1" s="1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5.75" customHeight="1" s="1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5.75" customHeight="1" s="1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5.75" customHeight="1" s="1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5.75" customHeight="1" s="1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5.75" customHeight="1" s="1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5.75" customHeight="1" s="1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5.75" customHeight="1" s="1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5.75" customHeight="1" s="1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5.75" customHeight="1" s="1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5.75" customHeight="1" s="1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5.75" customHeight="1" s="1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5.75" customHeight="1" s="1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5.75" customHeight="1" s="1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5.75" customHeight="1" s="1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5.75" customHeight="1" s="1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5.75" customHeight="1" s="1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5.75" customHeight="1" s="1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5.75" customHeight="1" s="1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5.75" customHeight="1" s="1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5.75" customHeight="1" s="1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5.75" customHeight="1" s="1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5.75" customHeight="1" s="1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5.75" customHeight="1" s="1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5.75" customHeight="1" s="1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5.75" customHeight="1" s="1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5.75" customHeight="1" s="1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5.75" customHeight="1" s="1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5.75" customHeight="1" s="1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5.75" customHeight="1" s="1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5.75" customHeight="1" s="1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5.75" customHeight="1" s="1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5.75" customHeight="1" s="1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5.75" customHeight="1" s="1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5.75" customHeight="1" s="1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5.75" customHeight="1" s="1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5.75" customHeight="1" s="1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5.75" customHeight="1" s="1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5.75" customHeight="1" s="1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5.75" customHeight="1" s="1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5.75" customHeight="1" s="1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5.75" customHeight="1" s="1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5.75" customHeight="1" s="1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5.75" customHeight="1" s="1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5.75" customHeight="1" s="1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5.75" customHeight="1" s="1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5.75" customHeight="1" s="1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5.75" customHeight="1" s="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5.75" customHeight="1" s="1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5.75" customHeight="1" s="1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5.75" customHeight="1" s="1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5.75" customHeight="1" s="1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5.75" customHeight="1" s="1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5.75" customHeight="1" s="1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5.75" customHeight="1" s="1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5.75" customHeight="1" s="1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5.75" customHeight="1" s="1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5.75" customHeight="1" s="1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5.75" customHeight="1" s="1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5.75" customHeight="1" s="1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5.75" customHeight="1" s="1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5.75" customHeight="1" s="1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5.75" customHeight="1" s="1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5.75" customHeight="1" s="1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5.75" customHeight="1" s="1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5.75" customHeight="1" s="1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5.75" customHeight="1" s="1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5.75" customHeight="1" s="1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5.75" customHeight="1" s="1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5.75" customHeight="1" s="1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5.75" customHeight="1" s="1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1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1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1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1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1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1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1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1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1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1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1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1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1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1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1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1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1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1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1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1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1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1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1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1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1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1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1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1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1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1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1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1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1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1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1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1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1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1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1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1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1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1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1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1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1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1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1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1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1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1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1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1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1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1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1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1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1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1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1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1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1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1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1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1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1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1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1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1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1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1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1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1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1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1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1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1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1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1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1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1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1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1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1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1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1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1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1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1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1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1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1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1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1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1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1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1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1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1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1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1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1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1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1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1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1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1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1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1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1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1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1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1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1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1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1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1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1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1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1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1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1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1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1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1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1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1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1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1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1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1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1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1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1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1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1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1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1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1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1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1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1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1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1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1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1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1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1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1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1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1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1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1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1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1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1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1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1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1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1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1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1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1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1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1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1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1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1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1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1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1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1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1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1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1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1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1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1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1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1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1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1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1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1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1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1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1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1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1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1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1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1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1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1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1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1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1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1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1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1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1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1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1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1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1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1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1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1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1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1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1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1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1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1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1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1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1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1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1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1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1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1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1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1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1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1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1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1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1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1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1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1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1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1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1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1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1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1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1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1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1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1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1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1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1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1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1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1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1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1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1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1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1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1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1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1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1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1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1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1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1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1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1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1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1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1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1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1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1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1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1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1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1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1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1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1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1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1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1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1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1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1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1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1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1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1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1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1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1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1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1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1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1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1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1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1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1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1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1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1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1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1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1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1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1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1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1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1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1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1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1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1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1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1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1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1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1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1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1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1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1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1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1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1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1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1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1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1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1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1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1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1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1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1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1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1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1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1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1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1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1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1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1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1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1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1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1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1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1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1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1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1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1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1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1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1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1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1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1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1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1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1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1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1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1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1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1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1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1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1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1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1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1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1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1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1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1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1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1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1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1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1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1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1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1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1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1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1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1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1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1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1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1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1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1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1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1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1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1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1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1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1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1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1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1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1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1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1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1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1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1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1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1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1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1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1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1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1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1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1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1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1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1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1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1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1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1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1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1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1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1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1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1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1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1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1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1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1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1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1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1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1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1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1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1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1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1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1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1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1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1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1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1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1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1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1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1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1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1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1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1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1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1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1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1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1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1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1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1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1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1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1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1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1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1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1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1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1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1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1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1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1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1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1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1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1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1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1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1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1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1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1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1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1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1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1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1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1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1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1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1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1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1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1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1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1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1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1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1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1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1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1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1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1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1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1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1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1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1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1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1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1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1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1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1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1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1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1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1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1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1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1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1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1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1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1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1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1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1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1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1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1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1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1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1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1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1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1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1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1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1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1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1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1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1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1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1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1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1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1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1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1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1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1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1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1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1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1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1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1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1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1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1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1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1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1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1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1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1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1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1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1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1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1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1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1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1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1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1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1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1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1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1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1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1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1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1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1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1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1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1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1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1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1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1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1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1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1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1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1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1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1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1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1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1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1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1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1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1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1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1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1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1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1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1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1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1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1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1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1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1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1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1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1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1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1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1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1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1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1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1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1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1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1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1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1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1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1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1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1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1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1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1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1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1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1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1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1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1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1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1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1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1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1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1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1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1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1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1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1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1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1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1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1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1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1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1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1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1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1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1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1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1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1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1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1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1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1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1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1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1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1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1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1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1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1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1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1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1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1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1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1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1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1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1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1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1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1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1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1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1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1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1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1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1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1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1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1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1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1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1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1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1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1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1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1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1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1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1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1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1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1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1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1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1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1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1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1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1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1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1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1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1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1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1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1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1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1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1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1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1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1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1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1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1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1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1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1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1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1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  <row r="1001" ht="15.75" customHeight="1" s="11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5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</row>
    <row r="1002" ht="15.75" customHeight="1" s="11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5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</row>
    <row r="1003" ht="15.75" customHeight="1" s="11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5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" customHeight="1"/>
  <cols>
    <col width="25.75" customWidth="1" style="11" min="1" max="1"/>
    <col width="12.63" customWidth="1" style="11" min="2" max="6"/>
  </cols>
  <sheetData>
    <row r="1" ht="15.75" customHeight="1" s="11">
      <c r="A1" s="9" t="inlineStr">
        <is>
          <t>Metric</t>
        </is>
      </c>
      <c r="B1" s="9" t="inlineStr">
        <is>
          <t>Previous Period</t>
        </is>
      </c>
      <c r="C1" s="9" t="inlineStr">
        <is>
          <t>Last Period</t>
        </is>
      </c>
      <c r="D1" s="9" t="inlineStr">
        <is>
          <t>Change</t>
        </is>
      </c>
      <c r="E1" s="10" t="inlineStr">
        <is>
          <t>Analysis &amp; Status</t>
        </is>
      </c>
      <c r="F1" s="0" t="inlineStr">
        <is>
          <t>Explanation</t>
        </is>
      </c>
      <c r="G1" s="0" t="inlineStr">
        <is>
          <t>Calculation Example</t>
        </is>
      </c>
    </row>
    <row r="2" ht="15.75" customHeight="1" s="11">
      <c r="A2" s="9" t="inlineStr">
        <is>
          <t>Customer Acquisition Cost (CAC)</t>
        </is>
      </c>
      <c r="B2" s="14" t="n">
        <v>9000</v>
      </c>
      <c r="C2" s="14" t="n">
        <v>8500</v>
      </c>
      <c r="D2" s="14">
        <f>C2-B2</f>
        <v/>
      </c>
      <c r="E2" s="0" t="inlineStr">
        <is>
          <t>Improving CAC efficiency</t>
        </is>
      </c>
      <c r="F2" s="0" t="inlineStr">
        <is>
          <t>Cost to acquire one paying brand client. Includes sales team time, onboarding, marketing, and travel. MENA market allows efficient BD vs. Western SaaS.</t>
        </is>
      </c>
      <c r="G2" s="0" t="inlineStr">
        <is>
          <t>Sales allocation $5K + Onboarding $2K + Marketing $0.5K + Travel $1K = $8.5K per new client</t>
        </is>
      </c>
    </row>
    <row r="3" ht="15.75" customHeight="1" s="11">
      <c r="A3" s="9" t="inlineStr">
        <is>
          <t>Leads Generated</t>
        </is>
      </c>
      <c r="B3" s="15" t="n">
        <v>900000</v>
      </c>
      <c r="C3" s="15" t="n">
        <v>1200000</v>
      </c>
      <c r="D3" s="15">
        <f>C3-B3</f>
        <v/>
      </c>
      <c r="E3" s="0" t="inlineStr">
        <is>
          <t>Lead volume scaled with network growth</t>
        </is>
      </c>
      <c r="F3" s="0" t="inlineStr">
        <is>
          <t>Cumulative qualified leads (publishers and brands) driven through the platform since 2022. Primarily publisher traffic routed through brand campaigns.</t>
        </is>
      </c>
      <c r="G3" s="0" t="inlineStr">
        <is>
          <t>Lifetime qualified leads: 1.2M+ as of Jan 2026. Monthly new leads ≈ 45K–50K based on 27K conversions at 8.2% CVR</t>
        </is>
      </c>
    </row>
    <row r="4" ht="15.75" customHeight="1" s="11">
      <c r="A4" s="9" t="inlineStr">
        <is>
          <t>Conversion Rate (Lead to Paid)</t>
        </is>
      </c>
      <c r="B4" s="16" t="n">
        <v>0.07000000000000001</v>
      </c>
      <c r="C4" s="16" t="n">
        <v>0.082</v>
      </c>
      <c r="D4" s="16">
        <f>C4-B4</f>
        <v/>
      </c>
      <c r="E4" s="0" t="inlineStr">
        <is>
          <t>Above industry benchmark</t>
        </is>
      </c>
      <c r="F4" s="0" t="inlineStr">
        <is>
          <t>Percentage of tracked clicks that result in a completed action (sale, lead, install). Perff AI's AI-powered publisher matching drives 3–8× industry average.</t>
        </is>
      </c>
      <c r="G4" s="0" t="inlineStr">
        <is>
          <t>CVR = Conversions / Clicks × 100 = 27,000 / 329,000 ≈ 8.2%. Industry avg: 1–3%</t>
        </is>
      </c>
    </row>
    <row r="5" ht="15.75" customHeight="1" s="11"/>
    <row r="6" ht="15.75" customHeight="1" s="11"/>
    <row r="7" ht="15.75" customHeight="1" s="11"/>
    <row r="8" ht="15.75" customHeight="1" s="11"/>
    <row r="9" ht="15.75" customHeight="1" s="11"/>
    <row r="10" ht="15.75" customHeight="1" s="11"/>
    <row r="11" ht="15.75" customHeight="1" s="11"/>
    <row r="12" ht="15.75" customHeight="1" s="11"/>
    <row r="13" ht="15.75" customHeight="1" s="11"/>
    <row r="14" ht="15.75" customHeight="1" s="11"/>
    <row r="15" ht="15.75" customHeight="1" s="11"/>
    <row r="16" ht="15.75" customHeight="1" s="11"/>
    <row r="17" ht="15.75" customHeight="1" s="11"/>
    <row r="18" ht="15.75" customHeight="1" s="11"/>
    <row r="19" ht="15.75" customHeight="1" s="11"/>
    <row r="20" ht="15.75" customHeight="1" s="11"/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" customHeight="1"/>
  <cols>
    <col width="26.25" customWidth="1" style="11" min="1" max="1"/>
    <col width="12.63" customWidth="1" style="11" min="2" max="6"/>
  </cols>
  <sheetData>
    <row r="1" ht="15.75" customHeight="1" s="11">
      <c r="A1" s="9" t="inlineStr">
        <is>
          <t>Metric</t>
        </is>
      </c>
      <c r="B1" s="9" t="inlineStr">
        <is>
          <t>Previous Period</t>
        </is>
      </c>
      <c r="C1" s="9" t="inlineStr">
        <is>
          <t>Last Period</t>
        </is>
      </c>
      <c r="D1" s="9" t="inlineStr">
        <is>
          <t>Change</t>
        </is>
      </c>
      <c r="E1" s="10" t="inlineStr">
        <is>
          <t>Analysis &amp; Status</t>
        </is>
      </c>
      <c r="F1" s="0" t="inlineStr">
        <is>
          <t>Explanation</t>
        </is>
      </c>
      <c r="G1" s="0" t="inlineStr">
        <is>
          <t>Calculation Example</t>
        </is>
      </c>
    </row>
    <row r="2" ht="15.75" customHeight="1" s="11">
      <c r="A2" s="9" t="inlineStr">
        <is>
          <t>Gross Churn Rate (Revenue Lost)</t>
        </is>
      </c>
      <c r="B2" s="16" t="n">
        <v>0.15</v>
      </c>
      <c r="C2" s="16" t="n">
        <v>0.13</v>
      </c>
      <c r="D2" s="16">
        <f>C2-B2</f>
        <v/>
      </c>
      <c r="E2" s="0" t="inlineStr">
        <is>
          <t>Improving — churn dropped 2pp YoY from 2024 to 2025</t>
        </is>
      </c>
      <c r="F2" s="0" t="inlineStr">
        <is>
          <t>Percentage of revenue lost from clients who did not renew or cancelled. Low churn confirms product-market fit in MENA affiliate marketing.</t>
        </is>
      </c>
      <c r="G2" s="0" t="inlineStr">
        <is>
          <t>Gross Churn = Revenue lost from churned clients / Beginning period revenue = ~$156K / $1.2M = 13% annually ≈ 1.08%/month</t>
        </is>
      </c>
    </row>
    <row r="3" ht="15.75" customHeight="1" s="11">
      <c r="A3" s="9" t="inlineStr">
        <is>
          <t xml:space="preserve">Customer Retention </t>
        </is>
      </c>
      <c r="B3" s="16" t="n">
        <v>0.85</v>
      </c>
      <c r="C3" s="16" t="n">
        <v>0.87</v>
      </c>
      <c r="D3" s="16">
        <f>C3-B3</f>
        <v/>
      </c>
      <c r="E3" s="0" t="inlineStr">
        <is>
          <t>Improving — +2pp vs prior year cohort</t>
        </is>
      </c>
      <c r="F3" s="0" t="inlineStr">
        <is>
          <t>87% of brand clients renew year-over-year. Well above the 60–70% affiliate platform industry average, indicating deep integration and ROI delivery.</t>
        </is>
      </c>
      <c r="G3" s="0" t="inlineStr">
        <is>
          <t>Retention Rate = 1 − Gross Churn = 1 − 0.13 = 87%</t>
        </is>
      </c>
    </row>
    <row r="4" ht="15.75" customHeight="1" s="11">
      <c r="A4" s="9" t="inlineStr">
        <is>
          <t>Customer Lifetime Value (LTV)</t>
        </is>
      </c>
      <c r="B4" s="14" t="n">
        <v>60000</v>
      </c>
      <c r="C4" s="14" t="n">
        <v>67000</v>
      </c>
      <c r="D4" s="14">
        <f>C4-B4</f>
        <v/>
      </c>
      <c r="E4" s="0" t="inlineStr">
        <is>
          <t>Growing — driven by higher margin (65.5%→66.5%) and longer retention</t>
        </is>
      </c>
      <c r="F4" s="0" t="inlineStr">
        <is>
          <t>Total gross profit expected from a single brand client over their lifetime. Calculated using average spend, expansion rate, gross margin, and lifespan.</t>
        </is>
      </c>
      <c r="G4" s="0" t="inlineStr">
        <is>
          <t>Previous: $24K × 1.35 expansion × 65.5% margin × 2.8yr = ~$60K  |  Current: $24K × 1.40 expansion × 66.5% margin × 3.0yr = ~$67K</t>
        </is>
      </c>
    </row>
    <row r="5" ht="15.75" customHeight="1" s="11">
      <c r="A5" s="9" t="inlineStr">
        <is>
          <t>LTV / CAC Ratio</t>
        </is>
      </c>
      <c r="B5" s="0" t="n">
        <v>7</v>
      </c>
      <c r="C5" s="0" t="n">
        <v>8</v>
      </c>
      <c r="D5" s="0">
        <f>C5-B5</f>
        <v/>
      </c>
      <c r="E5" s="0" t="inlineStr">
        <is>
          <t>Improving — LTV grew while CAC fell from $9K to $8.5K</t>
        </is>
      </c>
      <c r="F5" s="0" t="inlineStr">
        <is>
          <t>The ratio of customer lifetime value to acquisition cost. &gt;3× is considered healthy for SaaS/marketplace. Perff AI at 8× is best-in-class.</t>
        </is>
      </c>
      <c r="G5" s="0" t="inlineStr">
        <is>
          <t>Previous: LTV $60K / CAC $9K = 6.7× ≈ 7×  |  Current: LTV $67K / CAC $8.5K = 7.88× ≈ 8×. Payback: 5.3 months</t>
        </is>
      </c>
    </row>
    <row r="6" ht="15.75" customHeight="1" s="11"/>
    <row r="7" ht="15.75" customHeight="1" s="11"/>
    <row r="8" ht="15.75" customHeight="1" s="11"/>
    <row r="9" ht="15.75" customHeight="1" s="11"/>
    <row r="10" ht="15.75" customHeight="1" s="11"/>
    <row r="11" ht="15.75" customHeight="1" s="11"/>
    <row r="12" ht="15.75" customHeight="1" s="11"/>
    <row r="13" ht="15.75" customHeight="1" s="11"/>
    <row r="14" ht="15.75" customHeight="1" s="11"/>
    <row r="15" ht="15.75" customHeight="1" s="11"/>
    <row r="16" ht="15.75" customHeight="1" s="11"/>
    <row r="17" ht="15.75" customHeight="1" s="11"/>
    <row r="18" ht="15.75" customHeight="1" s="11"/>
    <row r="19" ht="15.75" customHeight="1" s="11"/>
    <row r="20" ht="15.75" customHeight="1" s="11"/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" customHeight="1"/>
  <cols>
    <col width="43.25" customWidth="1" style="11" min="1" max="1"/>
    <col width="12.63" customWidth="1" style="11" min="2" max="6"/>
  </cols>
  <sheetData>
    <row r="1" ht="15.75" customHeight="1" s="11">
      <c r="A1" s="9" t="inlineStr">
        <is>
          <t>Metric</t>
        </is>
      </c>
      <c r="B1" s="9" t="inlineStr">
        <is>
          <t>Previous Period</t>
        </is>
      </c>
      <c r="C1" s="9" t="inlineStr">
        <is>
          <t>Last Period</t>
        </is>
      </c>
      <c r="D1" s="10" t="inlineStr">
        <is>
          <t>Change</t>
        </is>
      </c>
      <c r="E1" s="10" t="inlineStr">
        <is>
          <t>Analysis &amp; Status</t>
        </is>
      </c>
      <c r="F1" s="0" t="inlineStr">
        <is>
          <t>Explanation</t>
        </is>
      </c>
      <c r="G1" s="0" t="inlineStr">
        <is>
          <t>Calculation Example</t>
        </is>
      </c>
    </row>
    <row r="2" ht="15.75" customHeight="1" s="11">
      <c r="A2" s="9" t="inlineStr">
        <is>
          <t>Daily Active Users (DAU) / Monthly Active Users (MAU)</t>
        </is>
      </c>
      <c r="B2" s="20" t="n">
        <v>0.18</v>
      </c>
      <c r="C2" s="20" t="n">
        <v>0.22</v>
      </c>
      <c r="D2" s="20">
        <f>C2-B2</f>
        <v/>
      </c>
      <c r="E2" s="0" t="inlineStr">
        <is>
          <t>Growing engagement; improving stickiness</t>
        </is>
      </c>
      <c r="F2" s="0" t="inlineStr">
        <is>
          <t>Measures platform stickiness. Higher ratio means users return daily. For a B2B affiliate platform, 20–25% DAU/MAU is strong — most sessions are campaign monitoring or publisher activity.</t>
        </is>
      </c>
      <c r="G2" s="0" t="inlineStr">
        <is>
          <t>DAU/MAU = Daily Active Users / Monthly Active Users. Proxy: 450 monthly active publishers × 22% daily return = ~99 DAU. Jan 2026 improvement from 18% (Dec 2025).</t>
        </is>
      </c>
    </row>
    <row r="3" ht="15.75" customHeight="1" s="11">
      <c r="A3" s="9" t="inlineStr">
        <is>
          <t>Time to Resolve Critical Bugs (Average)</t>
        </is>
      </c>
      <c r="B3" s="21" t="n">
        <v>1</v>
      </c>
      <c r="C3" s="21" t="n">
        <v>0.75</v>
      </c>
      <c r="D3" s="21">
        <f>C3-B3</f>
        <v/>
      </c>
      <c r="E3" s="0" t="inlineStr">
        <is>
          <t>Improving; under 1 day average</t>
        </is>
      </c>
      <c r="F3" s="0" t="inlineStr">
        <is>
          <t>Average time (in days) to resolve a critical bug affecting platform functionality. Lower is better. Correlates with 99.7% platform uptime record.</t>
        </is>
      </c>
      <c r="G3" s="0" t="inlineStr">
        <is>
          <t>Proxy derived from 99.7% uptime (2.6 hrs downtime/year). With 3 developers and CI/CD pipeline, critical P1 bugs estimated at &lt;18 hours = 0.75 days in Jan 2026 vs 1.0 days Dec 2025.</t>
        </is>
      </c>
    </row>
    <row r="4" ht="15.75" customHeight="1" s="11">
      <c r="A4" s="9" t="inlineStr">
        <is>
          <t>Core Feature Adoption (e.g., % of users using Feature X)</t>
        </is>
      </c>
      <c r="B4" s="20" t="n">
        <v>0.46</v>
      </c>
      <c r="C4" s="20" t="n">
        <v>0.52</v>
      </c>
      <c r="D4" s="20">
        <f>C4-B4</f>
        <v/>
      </c>
      <c r="E4" s="0" t="inlineStr">
        <is>
          <t>Above 50%; strong adoption of AI tools</t>
        </is>
      </c>
      <c r="F4" s="0" t="inlineStr">
        <is>
          <t>Percentage of active users who have used the core differentiating feature (AI publisher recommendations / real-time fraud dashboard) in the period. Rising adoption = stickier product.</t>
        </is>
      </c>
      <c r="G4" s="0" t="inlineStr">
        <is>
          <t>Feature Adoption = Monthly Active Publishers using AI tools / Total Active Publishers = 234 / 450 ≈ 52%. Dec: 207/450 = 46%. Source: active vs verified publisher ratio.</t>
        </is>
      </c>
    </row>
    <row r="5" ht="15.75" customHeight="1" s="11"/>
    <row r="6" ht="15.75" customHeight="1" s="11"/>
    <row r="7" ht="15.75" customHeight="1" s="11"/>
    <row r="8" ht="15.75" customHeight="1" s="11"/>
    <row r="9" ht="15.75" customHeight="1" s="11"/>
    <row r="10" ht="15.75" customHeight="1" s="11"/>
    <row r="11" ht="15.75" customHeight="1" s="11"/>
    <row r="12" ht="15.75" customHeight="1" s="11"/>
    <row r="13" ht="15.75" customHeight="1" s="11"/>
    <row r="14" ht="15.75" customHeight="1" s="11"/>
    <row r="15" ht="15.75" customHeight="1" s="11"/>
    <row r="16" ht="15.75" customHeight="1" s="11"/>
    <row r="17" ht="15.75" customHeight="1" s="11"/>
    <row r="18" ht="15.75" customHeight="1" s="11"/>
    <row r="19" ht="15.75" customHeight="1" s="11"/>
    <row r="20" ht="15.75" customHeight="1" s="11"/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" customHeight="1"/>
  <cols>
    <col width="18.38" customWidth="1" style="11" min="1" max="1"/>
    <col width="12.63" customWidth="1" style="11" min="2" max="6"/>
  </cols>
  <sheetData>
    <row r="1" ht="15.75" customHeight="1" s="11">
      <c r="A1" s="10" t="inlineStr">
        <is>
          <t>Metric</t>
        </is>
      </c>
      <c r="B1" s="9" t="inlineStr">
        <is>
          <t>Previous Period</t>
        </is>
      </c>
      <c r="C1" s="9" t="inlineStr">
        <is>
          <t>Last Period</t>
        </is>
      </c>
      <c r="D1" s="10" t="inlineStr">
        <is>
          <t>Change</t>
        </is>
      </c>
      <c r="E1" s="10" t="inlineStr">
        <is>
          <t>Analysis &amp; Status</t>
        </is>
      </c>
      <c r="F1" s="0" t="inlineStr">
        <is>
          <t>Explanation</t>
        </is>
      </c>
      <c r="G1" s="0" t="inlineStr">
        <is>
          <t>Calculation Example</t>
        </is>
      </c>
    </row>
    <row r="2" ht="15.75" customHeight="1" s="11">
      <c r="A2" s="10" t="inlineStr">
        <is>
          <t>Team Headcount</t>
        </is>
      </c>
      <c r="B2" s="17" t="n">
        <v>8</v>
      </c>
      <c r="C2" s="17" t="n">
        <v>9</v>
      </c>
      <c r="D2" s="17">
        <f>C2-B2</f>
        <v/>
      </c>
      <c r="E2" s="0" t="inlineStr">
        <is>
          <t>Scaled team selectively</t>
        </is>
      </c>
      <c r="F2" s="0" t="inlineStr">
        <is>
          <t>Total full-time employees. Lean team across UAE, KSA, and Jordan. MENA talent arbitrage keeps costs low while maintaining strong output.</t>
        </is>
      </c>
      <c r="G2" s="0" t="inlineStr">
        <is>
          <t>3 Co-Founders + 1 GM + 1 Head of Comms + 2 Sr Affiliate Managers + 1 Social Media Manager + 1 COO = 9 FTE</t>
        </is>
      </c>
    </row>
    <row r="3" ht="15.75" customHeight="1" s="11">
      <c r="A3" s="10" t="inlineStr">
        <is>
          <t>Revenue per Employee</t>
        </is>
      </c>
      <c r="B3" s="18" t="n">
        <v>150000</v>
      </c>
      <c r="C3" s="18" t="n">
        <v>200000</v>
      </c>
      <c r="D3" s="19">
        <f>IFERROR((C3-B3)/B3,0)</f>
        <v/>
      </c>
      <c r="E3" s="0" t="inlineStr">
        <is>
          <t>Productivity increased despite hiring</t>
        </is>
      </c>
      <c r="F3" s="0" t="inlineStr">
        <is>
          <t>Annual revenue divided by total headcount. High productivity ratio proves capital efficiency. Pre-seed stage $200K/employee rivals Series A SaaS benchmarks.</t>
        </is>
      </c>
      <c r="G3" s="0" t="inlineStr">
        <is>
          <t>Revenue per Employee = Annual Revenue / Headcount = $1.8M / 9 = $200K. Previous period: $1.2M / 9 = $133K</t>
        </is>
      </c>
    </row>
    <row r="4" ht="15.75" customHeight="1" s="11">
      <c r="A4" s="10" t="inlineStr">
        <is>
          <t>Revenue CAGR (2022–2025)</t>
        </is>
      </c>
      <c r="B4" s="10" t="n">
        <v>1</v>
      </c>
      <c r="C4" s="10" t="n">
        <v>1.08</v>
      </c>
      <c r="D4" s="10">
        <f>C4-B4</f>
        <v/>
      </c>
      <c r="E4" s="0" t="inlineStr">
        <is>
          <t>CAGR improved with 2025 performance</t>
        </is>
      </c>
      <c r="F4" s="0" t="inlineStr">
        <is>
          <t>3-year compound annual growth rate from $200K (2022) to $1.8M (2025). Demonstrates consistent hypergrowth without relying on a single spike year.</t>
        </is>
      </c>
      <c r="G4" s="0" t="inlineStr">
        <is>
          <t>CAGR = (End Value / Start Value)^(1/n) − 1 = ($1.8M / $0.2M)^(1/3) − 1 = 9^0.333 − 1 ≈ 108%</t>
        </is>
      </c>
    </row>
    <row r="5" ht="15.75" customHeight="1" s="11">
      <c r="A5" s="0" t="inlineStr">
        <is>
          <t>Gross Profit per Employee</t>
        </is>
      </c>
      <c r="B5" s="0" t="n">
        <v>98250</v>
      </c>
      <c r="C5" s="0" t="n">
        <v>133333</v>
      </c>
      <c r="D5" s="0">
        <f>IFERROR((C5-B5)/B5,0)</f>
        <v/>
      </c>
      <c r="E5" s="0" t="inlineStr">
        <is>
          <t>Gross profit per employee improving</t>
        </is>
      </c>
      <c r="F5" s="0" t="inlineStr">
        <is>
          <t>Gross profit generated per employee. More meaningful than revenue per employee as it strips out variable costs like publisher payouts. Improves as margin expands.</t>
        </is>
      </c>
      <c r="G5" s="0" t="inlineStr">
        <is>
          <t>Gross Profit per Employee = Annual Gross Profit / Headcount. 2024: $786K / 9 = $87.3K. 2025E: $1.2M / 9 = $133K</t>
        </is>
      </c>
    </row>
    <row r="6" ht="15.75" customHeight="1" s="11"/>
    <row r="7" ht="15.75" customHeight="1" s="11"/>
    <row r="8" ht="15.75" customHeight="1" s="11"/>
    <row r="9" ht="15.75" customHeight="1" s="11"/>
    <row r="10" ht="15.75" customHeight="1" s="11"/>
    <row r="11" ht="15.75" customHeight="1" s="11"/>
    <row r="12" ht="15.75" customHeight="1" s="11"/>
    <row r="13" ht="15.75" customHeight="1" s="11"/>
    <row r="14" ht="15.75" customHeight="1" s="11"/>
    <row r="15" ht="15.75" customHeight="1" s="11"/>
    <row r="16" ht="15.75" customHeight="1" s="11"/>
    <row r="17" ht="15.75" customHeight="1" s="11"/>
    <row r="18" ht="15.75" customHeight="1" s="11"/>
    <row r="19" ht="15.75" customHeight="1" s="11"/>
    <row r="20" ht="15.75" customHeight="1" s="11"/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2026-04-07T08:34:24Z</dcterms:created>
  <dcterms:modified xmlns:dcterms="http://purl.org/dc/terms/" xmlns:xsi="http://www.w3.org/2001/XMLSchema-instance" xsi:type="dcterms:W3CDTF">2026-04-07T12:02:18Z</dcterms:modified>
</cp:coreProperties>
</file>
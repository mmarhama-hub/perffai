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asic Financial Metrics" sheetId="1" state="visible" r:id="rId1"/>
    <sheet xmlns:r="http://schemas.openxmlformats.org/officeDocument/2006/relationships" name="Acquisition &amp; Conversion" sheetId="2" state="visible" r:id="rId2"/>
    <sheet xmlns:r="http://schemas.openxmlformats.org/officeDocument/2006/relationships" name="Retention &amp; Value" sheetId="3" state="visible" r:id="rId3"/>
    <sheet xmlns:r="http://schemas.openxmlformats.org/officeDocument/2006/relationships" name="Product Operations &amp; Engagement" sheetId="4" state="visible" r:id="rId4"/>
    <sheet xmlns:r="http://schemas.openxmlformats.org/officeDocument/2006/relationships" name="Team &amp; Efficienc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 days&quot;"/>
  </numFmts>
  <fonts count="4">
    <font>
      <name val="Arial"/>
      <color rgb="FF000000"/>
      <sz val="10"/>
      <scheme val="minor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pivotButton="0" quotePrefix="0" xfId="0"/>
    <xf numFmtId="0" fontId="0" fillId="0" borderId="0" pivotButton="0" quotePrefix="0" xfId="0"/>
    <xf numFmtId="164" fontId="1" fillId="0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0" fontId="0" fillId="0" borderId="0" applyAlignment="1" pivotButton="0" quotePrefix="0" xfId="0">
      <alignment vertical="bottom"/>
    </xf>
    <xf numFmtId="165" fontId="0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37.5" customWidth="1" style="11" min="1" max="1"/>
    <col width="13.38" customWidth="1" style="11" min="2" max="2"/>
    <col width="12.75" customWidth="1" style="11" min="3" max="3"/>
    <col width="15.5" customWidth="1" style="11" min="4" max="4"/>
    <col width="12.63" customWidth="1" style="11" min="5" max="5"/>
    <col width="18.75" customWidth="1" style="11" min="6" max="6"/>
  </cols>
  <sheetData>
    <row r="1" ht="15.75" customHeight="1" s="11">
      <c r="A1" s="1" t="inlineStr">
        <is>
          <t>Metric</t>
        </is>
      </c>
      <c r="B1" s="7" t="inlineStr">
        <is>
          <t>Previous Period</t>
        </is>
      </c>
      <c r="C1" s="7" t="inlineStr">
        <is>
          <t>Last Period</t>
        </is>
      </c>
      <c r="D1" s="7" t="inlineStr">
        <is>
          <t>Change</t>
        </is>
      </c>
      <c r="E1" s="1" t="inlineStr">
        <is>
          <t>Analysis &amp; Status</t>
        </is>
      </c>
      <c r="F1" s="5" t="inlineStr">
        <is>
          <t>Explanation</t>
        </is>
      </c>
      <c r="G1" s="5" t="inlineStr">
        <is>
          <t>Calculation Example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1">
      <c r="A2" s="1" t="inlineStr">
        <is>
          <t>Monthly Revenue</t>
        </is>
      </c>
      <c r="B2" s="12" t="n">
        <v>150000</v>
      </c>
      <c r="C2" s="12" t="n">
        <v>207500</v>
      </c>
      <c r="D2" s="6">
        <f>IFERROR((C2-B2)/B2,0)</f>
        <v/>
      </c>
      <c r="E2" s="1" t="inlineStr">
        <is>
          <t>PDF-aligned: accountant P&amp;L monthly run-rate (2024→2025)</t>
        </is>
      </c>
      <c r="F2" s="5" t="inlineStr">
        <is>
          <t>Monthly revenue derived from accountant total revenue figures in Profit and Lost (2022-2027).pdf.</t>
        </is>
      </c>
      <c r="G2" s="5" t="inlineStr">
        <is>
          <t>2024: $1,800,000/12 = $150,000 | 2025: $2,490,000/12 = $207,500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5.75" customHeight="1" s="11">
      <c r="A3" s="7" t="inlineStr">
        <is>
          <t>MoM Revenue Growth Rate</t>
        </is>
      </c>
      <c r="B3" s="13" t="n">
        <v>2.586</v>
      </c>
      <c r="C3" s="13" t="n">
        <v>0.383</v>
      </c>
      <c r="D3" s="13">
        <f>C3-B3</f>
        <v/>
      </c>
      <c r="E3" s="1" t="inlineStr">
        <is>
          <t>PDF-aligned annual growth normalized to cohort periods</t>
        </is>
      </c>
      <c r="F3" s="7" t="inlineStr">
        <is>
          <t>Shows annual revenue growth across cohorts: previous uses 2023→2024, last uses 2024→2025 based on accountant table.</t>
        </is>
      </c>
      <c r="G3" s="7" t="inlineStr">
        <is>
          <t>Prev: ($1.8M-$501,921)/$501,921 ≈ 258.6% | Last: ($2.49M-$1.8M)/$1.8M ≈ 38.3%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5.75" customHeight="1" s="11">
      <c r="A4" s="7" t="inlineStr">
        <is>
          <t>Net Revenue Retention (NRR)</t>
        </is>
      </c>
      <c r="B4" s="13" t="n">
        <v>1.15</v>
      </c>
      <c r="C4" s="13" t="n">
        <v>1.2</v>
      </c>
      <c r="D4" s="13">
        <f>C4-B4</f>
        <v/>
      </c>
      <c r="E4" s="1" t="inlineStr">
        <is>
          <t>From operating metrics (not directly disclosed in P&amp;L PDF)</t>
        </is>
      </c>
      <c r="F4" s="7" t="inlineStr">
        <is>
          <t>Measures revenue retained from the existing customer base, accounting for churn, upgrades, and downgrades. A strong indicator of product-market fit and a key metric for SaaS valuation.</t>
        </is>
      </c>
      <c r="G4" s="7" t="inlineStr">
        <is>
          <t>NRR = (Beginning MRR + Expansion − Contraction − Churn) / Beginning MRR × 100. E.g. $100K + $25K − $5K − $0 = 120%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1">
      <c r="A5" s="7" t="inlineStr">
        <is>
          <t>Gross Margin</t>
        </is>
      </c>
      <c r="B5" s="13" t="n">
        <v>0.287</v>
      </c>
      <c r="C5" s="13" t="n">
        <v>0.3173</v>
      </c>
      <c r="D5" s="13">
        <f>C5-B5</f>
        <v/>
      </c>
      <c r="E5" s="1" t="inlineStr">
        <is>
          <t>PDF-aligned gross margin improving (28.7%→31.7%)</t>
        </is>
      </c>
      <c r="F5" s="7" t="inlineStr">
        <is>
          <t>Gross margin recalculated from accountant Gross Profit and Total Revenue lines.</t>
        </is>
      </c>
      <c r="G5" s="7" t="inlineStr">
        <is>
          <t>2024: $516,600/$1,800,000=28.7% | 2025: $790,000/$2,490,000=31.7%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1">
      <c r="A6" s="1" t="inlineStr">
        <is>
          <t>Monthly Recurring Revenue (MRR) (If applicable)</t>
        </is>
      </c>
      <c r="B6" s="12" t="n">
        <v>150000</v>
      </c>
      <c r="C6" s="12" t="n">
        <v>207500</v>
      </c>
      <c r="D6" s="6">
        <f>IFERROR((C6-B6)/B6,0)</f>
        <v/>
      </c>
      <c r="E6" s="1" t="inlineStr">
        <is>
          <t>PDF-aligned recurring monthly run-rate</t>
        </is>
      </c>
      <c r="F6" s="7" t="inlineStr">
        <is>
          <t>Measures predictable, recurring revenue. Investors value predictability and consistent month-over-month growth. Perff AI MRR tied to active campaign volume.</t>
        </is>
      </c>
      <c r="G6" s="7" t="inlineStr">
        <is>
          <t>MRR proxy from total monthly run-rate: 2024 $150,000 | 2025 $207,500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1">
      <c r="A7" s="1" t="inlineStr">
        <is>
          <t>Total Operating Expenses</t>
        </is>
      </c>
      <c r="B7" s="12" t="n">
        <v>7500</v>
      </c>
      <c r="C7" s="12" t="n">
        <v>15000</v>
      </c>
      <c r="D7" s="6">
        <f>IFERROR((C7-B7)/B7,0)</f>
        <v/>
      </c>
      <c r="E7" s="1" t="inlineStr">
        <is>
          <t>PDF-aligned operating expenses (monthly)</t>
        </is>
      </c>
      <c r="F7" s="5" t="inlineStr">
        <is>
          <t>Operating expenses sourced from accountant P&amp;L and converted to monthly values.</t>
        </is>
      </c>
      <c r="G7" s="5" t="inlineStr">
        <is>
          <t>2024: $90,000/12=$7,500 | 2025: $180,000/12=$15,000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1">
      <c r="A8" s="1" t="inlineStr">
        <is>
          <t>Net Burn Rate</t>
        </is>
      </c>
      <c r="B8" s="12" t="n">
        <v>-35550</v>
      </c>
      <c r="C8" s="12" t="n">
        <v>-50833</v>
      </c>
      <c r="D8" s="6">
        <f>C8-B8</f>
        <v/>
      </c>
      <c r="E8" s="1" t="inlineStr">
        <is>
          <t>PDF-aligned: negative burn (profitable in both periods)</t>
        </is>
      </c>
      <c r="F8" s="7" t="inlineStr">
        <is>
          <t>Using net profit from accountant P&amp;L. Negative burn indicates monthly cash generation.</t>
        </is>
      </c>
      <c r="G8" s="7" t="inlineStr">
        <is>
          <t>2024 net profit/month=$35,550 → burn=-$35,550 | 2025 net profit/month=$50,833 → burn=-$50,833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1">
      <c r="A9" s="1" t="inlineStr">
        <is>
          <t>Cash on Hand</t>
        </is>
      </c>
      <c r="B9" s="12" t="n">
        <v>250000</v>
      </c>
      <c r="C9" s="12" t="n">
        <v>600000</v>
      </c>
      <c r="D9" s="6">
        <f>C9-B9</f>
        <v/>
      </c>
      <c r="E9" s="5" t="inlineStr">
        <is>
          <t>Management estimate aligned with positive net profit trend</t>
        </is>
      </c>
      <c r="F9" s="5" t="inlineStr">
        <is>
          <t>Cash balance is not provided in P&amp;L PDF; values are internal management estimates updated to reflect profitable periods.</t>
        </is>
      </c>
      <c r="G9" s="5" t="inlineStr">
        <is>
          <t>Proxy estimate, non-PDF line item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1">
      <c r="A10" s="1" t="inlineStr">
        <is>
          <t>Cash Runway</t>
        </is>
      </c>
      <c r="B10" s="6" t="n">
        <v>12</v>
      </c>
      <c r="C10" s="6" t="n">
        <v>18</v>
      </c>
      <c r="D10" s="6">
        <f>C10-B10</f>
        <v/>
      </c>
      <c r="E10" s="1" t="inlineStr">
        <is>
          <t>Extended runway due to negative burn</t>
        </is>
      </c>
      <c r="F10" s="7" t="inlineStr">
        <is>
          <t>Runway is less relevant when monthly burn is negative; values shown as conservative planning horizon.</t>
        </is>
      </c>
      <c r="G10" s="7" t="inlineStr">
        <is>
          <t>Planning proxy, non-PDF line item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1">
      <c r="A11" s="7" t="inlineStr">
        <is>
          <t>Burn Multiple</t>
        </is>
      </c>
      <c r="B11" s="13" t="n">
        <v>0.8</v>
      </c>
      <c r="C11" s="13" t="n">
        <v>0.5</v>
      </c>
      <c r="D11" s="13">
        <f>C11-B11</f>
        <v/>
      </c>
      <c r="E11" s="5" t="inlineStr">
        <is>
          <t>Improving capital efficiency</t>
        </is>
      </c>
      <c r="F11" s="5" t="inlineStr">
        <is>
          <t>Burn multiple not directly available in P&amp;L PDF; kept as management KPI estimate.</t>
        </is>
      </c>
      <c r="G11" s="5" t="inlineStr">
        <is>
          <t>KPI proxy, non-PDF line item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1">
      <c r="A13" s="5" t="n"/>
      <c r="B13" s="7" t="n"/>
      <c r="C13" s="7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1">
      <c r="A14" s="7" t="n"/>
      <c r="B14" s="7" t="n"/>
      <c r="C14" s="7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1">
      <c r="A15" s="7" t="n"/>
      <c r="B15" s="7" t="n"/>
      <c r="C15" s="7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1">
      <c r="A16" s="7" t="n"/>
      <c r="B16" s="7" t="n"/>
      <c r="C16" s="7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1">
      <c r="A17" s="7" t="n"/>
      <c r="B17" s="7" t="n"/>
      <c r="C17" s="7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1">
      <c r="A18" s="7" t="n"/>
      <c r="B18" s="7" t="n"/>
      <c r="C18" s="7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 ht="15.75" customHeight="1" s="1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 ht="15.75" customHeight="1" s="1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  <row r="1003" ht="15.75" customHeight="1" s="1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4"/>
  <sheetViews>
    <sheetView workbookViewId="0">
      <selection activeCell="A1" sqref="A1"/>
    </sheetView>
  </sheetViews>
  <sheetFormatPr baseColWidth="8" defaultColWidth="12.63" defaultRowHeight="15" customHeight="1"/>
  <cols>
    <col width="25.7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9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9" t="inlineStr">
        <is>
          <t>Customer Acquisition Cost (CAC)</t>
        </is>
      </c>
      <c r="B2" s="14" t="n">
        <v>9000</v>
      </c>
      <c r="C2" s="14" t="n">
        <v>8500</v>
      </c>
      <c r="D2" s="14">
        <f>C2-B2</f>
        <v/>
      </c>
      <c r="E2" s="0" t="inlineStr">
        <is>
          <t>Improving CAC efficiency</t>
        </is>
      </c>
      <c r="F2" s="0" t="inlineStr">
        <is>
          <t>Cost to acquire one paying brand client. Includes sales team time, onboarding, marketing, and travel. MENA market allows efficient BD vs. Western SaaS.</t>
        </is>
      </c>
      <c r="G2" s="0" t="inlineStr">
        <is>
          <t>Sales allocation $5K + Onboarding $2K + Marketing $0.5K + Travel $1K = $8.5K per new client</t>
        </is>
      </c>
    </row>
    <row r="3" ht="15.75" customHeight="1" s="11">
      <c r="A3" s="9" t="inlineStr">
        <is>
          <t>Leads Generated</t>
        </is>
      </c>
      <c r="B3" s="15" t="n">
        <v>900000</v>
      </c>
      <c r="C3" s="15" t="n">
        <v>1200000</v>
      </c>
      <c r="D3" s="15">
        <f>C3-B3</f>
        <v/>
      </c>
      <c r="E3" s="0" t="inlineStr">
        <is>
          <t>Lead volume scaled with network growth</t>
        </is>
      </c>
      <c r="F3" s="0" t="inlineStr">
        <is>
          <t>Cumulative qualified leads (publishers and brands) driven through the platform since 2022. Primarily publisher traffic routed through brand campaigns.</t>
        </is>
      </c>
      <c r="G3" s="0" t="inlineStr">
        <is>
          <t>Lifetime qualified leads: 1.2M+ as of Jan 2026. Monthly new leads ≈ 45K–50K based on 27K conversions at 8.2% CVR</t>
        </is>
      </c>
    </row>
    <row r="4" ht="15.75" customHeight="1" s="11">
      <c r="A4" s="9" t="inlineStr">
        <is>
          <t>Conversion Rate (Lead to Paid)</t>
        </is>
      </c>
      <c r="B4" s="16" t="n">
        <v>0.07000000000000001</v>
      </c>
      <c r="C4" s="16" t="n">
        <v>0.082</v>
      </c>
      <c r="D4" s="16">
        <f>C4-B4</f>
        <v/>
      </c>
      <c r="E4" s="0" t="inlineStr">
        <is>
          <t>Above industry benchmark</t>
        </is>
      </c>
      <c r="F4" s="0" t="inlineStr">
        <is>
          <t>Percentage of tracked clicks that result in a completed action (sale, lead, install). Perff AI's AI-powered publisher matching drives 3–8× industry average.</t>
        </is>
      </c>
      <c r="G4" s="0" t="inlineStr">
        <is>
          <t>CVR = Conversions / Clicks × 100 = 27,000 / 329,000 ≈ 8.2%. Industry avg: 1–3%</t>
        </is>
      </c>
    </row>
    <row r="5" ht="15.75" customHeight="1" s="11"/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selection activeCell="A1" sqref="A1"/>
    </sheetView>
  </sheetViews>
  <sheetFormatPr baseColWidth="8" defaultColWidth="12.63" defaultRowHeight="15" customHeight="1"/>
  <cols>
    <col width="26.2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9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9" t="inlineStr">
        <is>
          <t>Gross Churn Rate (Revenue Lost)</t>
        </is>
      </c>
      <c r="B2" s="16" t="n">
        <v>0.15</v>
      </c>
      <c r="C2" s="16" t="n">
        <v>0.13</v>
      </c>
      <c r="D2" s="16">
        <f>C2-B2</f>
        <v/>
      </c>
      <c r="E2" s="0" t="inlineStr">
        <is>
          <t>Improving — churn dropped 2pp YoY from 2024 to 2025</t>
        </is>
      </c>
      <c r="F2" s="0" t="inlineStr">
        <is>
          <t>Percentage of revenue lost from clients who did not renew or cancelled. Low churn confirms product-market fit in MENA affiliate marketing.</t>
        </is>
      </c>
      <c r="G2" s="0" t="inlineStr">
        <is>
          <t>Gross Churn = Revenue lost from churned clients / Beginning period revenue = ~$156K / $1.2M = 13% annually ≈ 1.08%/month</t>
        </is>
      </c>
    </row>
    <row r="3" ht="15.75" customHeight="1" s="11">
      <c r="A3" s="9" t="inlineStr">
        <is>
          <t xml:space="preserve">Customer Retention </t>
        </is>
      </c>
      <c r="B3" s="16" t="n">
        <v>0.85</v>
      </c>
      <c r="C3" s="16" t="n">
        <v>0.87</v>
      </c>
      <c r="D3" s="16">
        <f>C3-B3</f>
        <v/>
      </c>
      <c r="E3" s="0" t="inlineStr">
        <is>
          <t>Improving — +2pp vs prior year cohort</t>
        </is>
      </c>
      <c r="F3" s="0" t="inlineStr">
        <is>
          <t>87% of brand clients renew year-over-year. Well above the 60–70% affiliate platform industry average, indicating deep integration and ROI delivery.</t>
        </is>
      </c>
      <c r="G3" s="0" t="inlineStr">
        <is>
          <t>Retention Rate = 1 − Gross Churn = 1 − 0.13 = 87%</t>
        </is>
      </c>
    </row>
    <row r="4" ht="15.75" customHeight="1" s="11">
      <c r="A4" s="9" t="inlineStr">
        <is>
          <t>Customer Lifetime Value (LTV)</t>
        </is>
      </c>
      <c r="B4" s="14" t="n">
        <v>60000</v>
      </c>
      <c r="C4" s="14" t="n">
        <v>67000</v>
      </c>
      <c r="D4" s="14">
        <f>C4-B4</f>
        <v/>
      </c>
      <c r="E4" s="0" t="inlineStr">
        <is>
          <t>Growing — driven by higher margin (65.5%→66.5%) and longer retention</t>
        </is>
      </c>
      <c r="F4" s="0" t="inlineStr">
        <is>
          <t>Total gross profit expected from a single brand client over their lifetime. Calculated using average spend, expansion rate, gross margin, and lifespan.</t>
        </is>
      </c>
      <c r="G4" s="0" t="inlineStr">
        <is>
          <t>Previous: $24K × 1.35 expansion × 65.5% margin × 2.8yr = ~$60K  |  Current: $24K × 1.40 expansion × 66.5% margin × 3.0yr = ~$67K</t>
        </is>
      </c>
    </row>
    <row r="5" ht="15.75" customHeight="1" s="11">
      <c r="A5" s="9" t="inlineStr">
        <is>
          <t>LTV / CAC Ratio</t>
        </is>
      </c>
      <c r="B5" s="0" t="n">
        <v>7</v>
      </c>
      <c r="C5" s="0" t="n">
        <v>8</v>
      </c>
      <c r="D5" s="0">
        <f>C5-B5</f>
        <v/>
      </c>
      <c r="E5" s="0" t="inlineStr">
        <is>
          <t>Improving — LTV grew while CAC fell from $9K to $8.5K</t>
        </is>
      </c>
      <c r="F5" s="0" t="inlineStr">
        <is>
          <t>The ratio of customer lifetime value to acquisition cost. &gt;3× is considered healthy for SaaS/marketplace. Perff AI at 8× is best-in-class.</t>
        </is>
      </c>
      <c r="G5" s="0" t="inlineStr">
        <is>
          <t>Previous: LTV $60K / CAC $9K = 6.7× ≈ 7×  |  Current: LTV $67K / CAC $8.5K = 7.88× ≈ 8×. Payback: 5.3 months</t>
        </is>
      </c>
    </row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4"/>
  <sheetViews>
    <sheetView workbookViewId="0">
      <selection activeCell="A1" sqref="A1"/>
    </sheetView>
  </sheetViews>
  <sheetFormatPr baseColWidth="8" defaultColWidth="12.63" defaultRowHeight="15" customHeight="1"/>
  <cols>
    <col width="43.2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10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9" t="inlineStr">
        <is>
          <t>Daily Active Users (DAU) / Monthly Active Users (MAU)</t>
        </is>
      </c>
      <c r="B2" s="20" t="n">
        <v>0.18</v>
      </c>
      <c r="C2" s="20" t="n">
        <v>0.22</v>
      </c>
      <c r="D2" s="20">
        <f>C2-B2</f>
        <v/>
      </c>
      <c r="E2" s="0" t="inlineStr">
        <is>
          <t>Growing engagement; improving stickiness</t>
        </is>
      </c>
      <c r="F2" s="0" t="inlineStr">
        <is>
          <t>Measures platform stickiness. Higher ratio means users return daily. For a B2B affiliate platform, 20–25% DAU/MAU is strong — most sessions are campaign monitoring or publisher activity.</t>
        </is>
      </c>
      <c r="G2" s="0" t="inlineStr">
        <is>
          <t>DAU/MAU = Daily Active Users / Monthly Active Users. Proxy: 450 monthly active publishers × 22% daily return = ~99 DAU. Jan 2026 improvement from 18% (Dec 2025).</t>
        </is>
      </c>
    </row>
    <row r="3" ht="15.75" customHeight="1" s="11">
      <c r="A3" s="9" t="inlineStr">
        <is>
          <t>Time to Resolve Critical Bugs (Average)</t>
        </is>
      </c>
      <c r="B3" s="21" t="n">
        <v>1</v>
      </c>
      <c r="C3" s="21" t="n">
        <v>0.75</v>
      </c>
      <c r="D3" s="21">
        <f>C3-B3</f>
        <v/>
      </c>
      <c r="E3" s="0" t="inlineStr">
        <is>
          <t>Improving; under 1 day average</t>
        </is>
      </c>
      <c r="F3" s="0" t="inlineStr">
        <is>
          <t>Average time (in days) to resolve a critical bug affecting platform functionality. Lower is better. Correlates with 99.7% platform uptime record.</t>
        </is>
      </c>
      <c r="G3" s="0" t="inlineStr">
        <is>
          <t>Proxy derived from 99.7% uptime (2.6 hrs downtime/year). With 3 developers and CI/CD pipeline, critical P1 bugs estimated at &lt;18 hours = 0.75 days in Jan 2026 vs 1.0 days Dec 2025.</t>
        </is>
      </c>
    </row>
    <row r="4" ht="15.75" customHeight="1" s="11">
      <c r="A4" s="9" t="inlineStr">
        <is>
          <t>Core Feature Adoption (e.g., % of users using Feature X)</t>
        </is>
      </c>
      <c r="B4" s="20" t="n">
        <v>0.46</v>
      </c>
      <c r="C4" s="20" t="n">
        <v>0.52</v>
      </c>
      <c r="D4" s="20">
        <f>C4-B4</f>
        <v/>
      </c>
      <c r="E4" s="0" t="inlineStr">
        <is>
          <t>Above 50%; strong adoption of AI tools</t>
        </is>
      </c>
      <c r="F4" s="0" t="inlineStr">
        <is>
          <t>Percentage of active users who have used the core differentiating feature (AI publisher recommendations / real-time fraud dashboard) in the period. Rising adoption = stickier product.</t>
        </is>
      </c>
      <c r="G4" s="0" t="inlineStr">
        <is>
          <t>Feature Adoption = Monthly Active Publishers using AI tools / Total Active Publishers = 234 / 450 ≈ 52%. Dec: 207/450 = 46%. Source: active vs verified publisher ratio.</t>
        </is>
      </c>
    </row>
    <row r="5" ht="15.75" customHeight="1" s="11"/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selection activeCell="A1" sqref="A1"/>
    </sheetView>
  </sheetViews>
  <sheetFormatPr baseColWidth="8" defaultColWidth="12.63" defaultRowHeight="15" customHeight="1"/>
  <cols>
    <col width="18.38" customWidth="1" style="11" min="1" max="1"/>
    <col width="12.63" customWidth="1" style="11" min="2" max="6"/>
  </cols>
  <sheetData>
    <row r="1" ht="15.75" customHeight="1" s="11">
      <c r="A1" s="10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10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10" t="inlineStr">
        <is>
          <t>Team Headcount</t>
        </is>
      </c>
      <c r="B2" s="17" t="n">
        <v>8</v>
      </c>
      <c r="C2" s="17" t="n">
        <v>9</v>
      </c>
      <c r="D2" s="17">
        <f>C2-B2</f>
        <v/>
      </c>
      <c r="E2" s="0" t="inlineStr">
        <is>
          <t>Scaled team selectively (2024→2025)</t>
        </is>
      </c>
      <c r="F2" s="0" t="inlineStr">
        <is>
          <t>Total full-time employees. Lean team across UAE, KSA, and Jordan. MENA talent arbitrage keeps costs low while maintaining strong output.</t>
        </is>
      </c>
      <c r="G2" s="0" t="inlineStr">
        <is>
          <t>3 Co-Founders + 1 GM + 1 Head of Comms + 2 Sr Affiliate Managers + 1 Social Media Manager + 1 COO = 9 FTE</t>
        </is>
      </c>
    </row>
    <row r="3" ht="15.75" customHeight="1" s="11">
      <c r="A3" s="10" t="inlineStr">
        <is>
          <t>Revenue per Employee</t>
        </is>
      </c>
      <c r="B3" s="18" t="n">
        <v>225000</v>
      </c>
      <c r="C3" s="18" t="n">
        <v>276667</v>
      </c>
      <c r="D3" s="19">
        <f>IFERROR((C3-B3)/B3,0)</f>
        <v/>
      </c>
      <c r="E3" s="0" t="inlineStr">
        <is>
          <t>PDF-aligned revenue productivity improved</t>
        </is>
      </c>
      <c r="F3" s="0" t="inlineStr">
        <is>
          <t>Annual revenue per employee based on accountant annual revenue and team size by period.</t>
        </is>
      </c>
      <c r="G3" s="0" t="inlineStr">
        <is>
          <t>2024: $1.8M/8=$225K | 2025: $2.49M/9=$276.7K</t>
        </is>
      </c>
    </row>
    <row r="4" ht="15.75" customHeight="1" s="11">
      <c r="A4" s="10" t="inlineStr">
        <is>
          <t>Revenue CAGR (2022–2025)</t>
        </is>
      </c>
      <c r="B4" s="10" t="n">
        <v>1.08</v>
      </c>
      <c r="C4" s="10" t="n">
        <v>1.16</v>
      </c>
      <c r="D4" s="10">
        <f>C4-B4</f>
        <v/>
      </c>
      <c r="E4" s="0" t="inlineStr">
        <is>
          <t>Updated CAGR using accountant revenue series</t>
        </is>
      </c>
      <c r="F4" s="0" t="inlineStr">
        <is>
          <t>Previous value from legacy deck data; last value recalculated with accountant revenue (2022→2025).</t>
        </is>
      </c>
      <c r="G4" s="0" t="inlineStr">
        <is>
          <t>CAGR=(2.49M/247,122)^(1/3)-1≈116%</t>
        </is>
      </c>
    </row>
    <row r="5" ht="15.75" customHeight="1" s="11">
      <c r="A5" s="0" t="inlineStr">
        <is>
          <t>Gross Profit per Employee</t>
        </is>
      </c>
      <c r="B5" s="0" t="n">
        <v>64575</v>
      </c>
      <c r="C5" s="0" t="n">
        <v>87778</v>
      </c>
      <c r="D5" s="0">
        <f>IFERROR((C5-B5)/B5,0)</f>
        <v/>
      </c>
      <c r="E5" s="0" t="inlineStr">
        <is>
          <t>PDF-aligned gross profit productivity improved</t>
        </is>
      </c>
      <c r="F5" s="0" t="inlineStr">
        <is>
          <t>Gross profit per employee from accountant Gross Profit line.</t>
        </is>
      </c>
      <c r="G5" s="0" t="inlineStr">
        <is>
          <t>2024: $516.6K/8=$64.6K | 2025: $790K/9=$87.8K</t>
        </is>
      </c>
    </row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2026-04-07T08:34:24Z</dcterms:created>
  <dcterms:modified xmlns:dcterms="http://purl.org/dc/terms/" xmlns:xsi="http://www.w3.org/2001/XMLSchema-instance" xsi:type="dcterms:W3CDTF">2026-04-07T12:10:25Z</dcterms:modified>
</cp:coreProperties>
</file>